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elto\Downloads\"/>
    </mc:Choice>
  </mc:AlternateContent>
  <xr:revisionPtr revIDLastSave="0" documentId="8_{DA0DC611-1255-4696-B8BD-57B662A9825E}" xr6:coauthVersionLast="47" xr6:coauthVersionMax="47" xr10:uidLastSave="{00000000-0000-0000-0000-000000000000}"/>
  <bookViews>
    <workbookView xWindow="-98" yWindow="-98" windowWidth="21795" windowHeight="1387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 r="G34" i="1"/>
  <c r="G33" i="1"/>
  <c r="G21" i="1"/>
  <c r="G20" i="1"/>
  <c r="G36" i="1" l="1"/>
  <c r="G22" i="1"/>
  <c r="G2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<sst xmlns="http://schemas.openxmlformats.org/spreadsheetml/2006/main" count="87" uniqueCount="48">
  <si>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</si>
  <si>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</si>
  <si>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</si>
  <si>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</si>
  <si>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</si>
  <si>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</si>
  <si>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</si>
  <si>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</si>
  <si>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</si>
  <si>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</si>
  <si>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</si>
  <si>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</si>
  <si>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</si>
  <si>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</si>
  <si>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</si>
  <si>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</si>
  <si>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</si>
  <si>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</si>
  <si>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+3.3V Power Rail</t>
  </si>
  <si>
    <t>Total Current Required on +3.3V Rail</t>
  </si>
  <si>
    <t>c4. Regulator or Source Choice</t>
  </si>
  <si>
    <t>Total Remaining Current Available on 3.3V Rail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</si>
  <si>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</si>
  <si>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</si>
  <si>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</si>
  <si>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</si>
  <si>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</si>
  <si>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</si>
  <si>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</si>
  <si>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</si>
  <si>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</si>
  <si>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</si>
  <si>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IC TEMP SENSOR</t>
  </si>
  <si>
    <t>TMP1075DSGR</t>
  </si>
  <si>
    <t>1.7V ~ 5.5V</t>
  </si>
  <si>
    <t>IC REG BUCK 3.3V 1.5A SOT23-5</t>
  </si>
  <si>
    <t>SC189ZSKTRT</t>
  </si>
  <si>
    <t>+3.3V - 5.5V</t>
  </si>
  <si>
    <t>A</t>
  </si>
  <si>
    <t>Surveyor Robot</t>
  </si>
  <si>
    <t>V1.0</t>
  </si>
  <si>
    <t>ESP32-S3-WROOM-1-N4</t>
  </si>
  <si>
    <t>ESP32</t>
  </si>
  <si>
    <t>3V ~ 3.6V</t>
  </si>
  <si>
    <t>YU0905</t>
  </si>
  <si>
    <t>9VAC</t>
  </si>
  <si>
    <t>+9V</t>
  </si>
  <si>
    <t>Kelton, Jacob, Austin, Hafsa, Isaac, K, Levi, Michael, Neel, and Seth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</si>
</sst>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
      <sz val="12"/>
      <color rgb="FF000000"/>
      <name val="Calibri"/>
      <family val="2"/>
    </font>
    <font>
      <sz val="12"/>
      <color rgb="FF444444"/>
      <name val="Calibri"/>
      <family val="2"/>
    </font>
    <font>
      <sz val="12"/>
      <color rgb="FF000000"/>
      <name val="Arial"/>
      <family val="2"/>
    </font>
    <font>
      <b/>
      <sz val="12"/>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diagonal/>
    </border>
  </borders>
  <cellStyleXfs count="1">
    <xf numFmtId="0" fontId="0" fillId="0" borderId="0"/>
  </cellStyleXfs>
  <cellXfs count="61">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1" xfId="0" applyFont="1" applyBorder="1" applyAlignment="1">
      <alignment horizontal="left"/>
    </xf>
    <xf numFmtId="0" fontId="4" fillId="0" borderId="8" xfId="0" applyFont="1" applyBorder="1" applyAlignment="1">
      <alignment horizontal="center"/>
    </xf>
    <xf numFmtId="0" fontId="6" fillId="0" borderId="11" xfId="0" applyFont="1" applyBorder="1"/>
    <xf numFmtId="0" fontId="4" fillId="0" borderId="9" xfId="0" applyFont="1" applyBorder="1" applyAlignment="1">
      <alignment horizontal="center"/>
    </xf>
    <xf numFmtId="0" fontId="4" fillId="0" borderId="11" xfId="0" applyFont="1" applyBorder="1" applyAlignment="1">
      <alignment horizontal="center"/>
    </xf>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0" xfId="0" applyNumberFormat="1" applyFont="1" applyAlignment="1">
      <alignment horizontal="right"/>
    </xf>
    <xf numFmtId="0" fontId="6" fillId="0" borderId="0" xfId="0" applyFont="1" applyAlignment="1">
      <alignment wrapText="1"/>
    </xf>
    <xf numFmtId="0" fontId="8"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5" fillId="2" borderId="0" xfId="0" applyFont="1" applyFill="1"/>
    <xf numFmtId="0" fontId="10" fillId="0" borderId="0" xfId="0" applyFont="1"/>
    <xf numFmtId="0" fontId="11" fillId="0" borderId="0" xfId="0" quotePrefix="1" applyFont="1" applyAlignment="1">
      <alignment horizontal="center"/>
    </xf>
    <xf numFmtId="0" fontId="11" fillId="0" borderId="9" xfId="0" applyFont="1" applyBorder="1"/>
    <xf numFmtId="0" fontId="9" fillId="0" borderId="0" xfId="0" applyFont="1"/>
    <xf numFmtId="0" fontId="11" fillId="0" borderId="0" xfId="0" applyFont="1" applyAlignment="1">
      <alignment horizontal="center"/>
    </xf>
    <xf numFmtId="0" fontId="12" fillId="0" borderId="1" xfId="0" applyFont="1" applyBorder="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
  <sheetViews>
    <sheetView tabSelected="1" zoomScale="68" workbookViewId="0">
      <selection activeCell="C9" sqref="C9"/>
    </sheetView>
  </sheetViews>
  <sheetFormatPr defaultColWidth="13.4375" defaultRowHeight="15.75" customHeight="1" x14ac:dyDescent="0.5"/>
  <cols>
    <col min="1" max="1" width="26.125" customWidth="1"/>
    <col min="2" max="2" width="23.125" customWidth="1"/>
    <col min="3" max="3" width="20.625" customWidth="1"/>
    <col min="4" max="4" width="11.4375" customWidth="1"/>
    <col min="5" max="5" width="6.875" customWidth="1"/>
    <col min="6" max="6" width="12.3125" customWidth="1"/>
    <col min="7" max="7" width="12.6875" customWidth="1"/>
    <col min="8" max="8" width="9" customWidth="1"/>
  </cols>
  <sheetData>
    <row r="1" spans="1:8" ht="30" customHeight="1" x14ac:dyDescent="0.9">
      <c r="A1" s="42" t="s">
        <v>0</v>
      </c>
      <c r="B1" s="43"/>
      <c r="C1" s="43"/>
      <c r="D1" s="43"/>
      <c r="E1" s="43"/>
      <c r="F1" s="43"/>
      <c r="G1" s="43"/>
      <c r="H1" s="43"/>
    </row>
    <row r="2" spans="1:8" ht="15" customHeight="1" x14ac:dyDescent="0.5">
      <c r="A2" s="1" t="s">
        <v>1</v>
      </c>
      <c r="B2" s="2">
        <v>201</v>
      </c>
      <c r="D2" s="3"/>
      <c r="E2" s="3"/>
    </row>
    <row r="3" spans="1:8" ht="15" customHeight="1" x14ac:dyDescent="0.5">
      <c r="A3" s="4" t="s">
        <v>2</v>
      </c>
      <c r="B3" s="1" t="s">
        <v>39</v>
      </c>
      <c r="C3" s="5"/>
      <c r="D3" s="3"/>
      <c r="E3" s="3"/>
      <c r="F3" s="5"/>
      <c r="G3" s="5"/>
      <c r="H3" s="5"/>
    </row>
    <row r="4" spans="1:8" ht="15" customHeight="1" x14ac:dyDescent="0.5">
      <c r="A4" s="4" t="s">
        <v>3</v>
      </c>
      <c r="B4" s="60" t="s">
        <v>47</v>
      </c>
      <c r="C4" s="5"/>
      <c r="D4" s="3"/>
      <c r="E4" s="3"/>
      <c r="F4" s="5"/>
      <c r="G4" s="5"/>
      <c r="H4" s="5"/>
    </row>
    <row r="5" spans="1:8" ht="15" customHeight="1" x14ac:dyDescent="0.5">
      <c r="A5" s="4" t="s">
        <v>4</v>
      </c>
      <c r="B5" s="1" t="s">
        <v>40</v>
      </c>
      <c r="C5" s="5"/>
      <c r="D5" s="3"/>
      <c r="E5" s="3"/>
      <c r="F5" s="5"/>
      <c r="G5" s="5"/>
      <c r="H5" s="5"/>
    </row>
    <row r="6" spans="1:8" ht="15" customHeight="1" x14ac:dyDescent="0.5">
      <c r="A6" s="6"/>
      <c r="B6" s="5"/>
      <c r="C6" s="5"/>
      <c r="D6" s="3"/>
      <c r="E6" s="3"/>
      <c r="F6" s="5"/>
      <c r="G6" s="5"/>
      <c r="H6" s="5"/>
    </row>
    <row r="7" spans="1:8" ht="15" customHeight="1" x14ac:dyDescent="0.5">
      <c r="A7" s="44" t="s">
        <v>5</v>
      </c>
      <c r="B7" s="45"/>
      <c r="C7" s="45"/>
      <c r="D7" s="45"/>
      <c r="E7" s="45"/>
      <c r="F7" s="45"/>
      <c r="G7" s="45"/>
      <c r="H7" s="46"/>
    </row>
    <row r="8" spans="1:8" ht="15" customHeight="1" x14ac:dyDescent="0.5">
      <c r="A8" s="7" t="s">
        <v>6</v>
      </c>
      <c r="B8" s="8" t="s">
        <v>7</v>
      </c>
      <c r="C8" s="8" t="s">
        <v>8</v>
      </c>
      <c r="D8" s="9" t="s">
        <v>9</v>
      </c>
      <c r="E8" s="9" t="s">
        <v>10</v>
      </c>
      <c r="F8" s="10" t="s">
        <v>11</v>
      </c>
      <c r="G8" s="11" t="s">
        <v>12</v>
      </c>
      <c r="H8" s="11" t="s">
        <v>13</v>
      </c>
    </row>
    <row r="9" spans="1:8" ht="15" customHeight="1" x14ac:dyDescent="0.5">
      <c r="A9" s="12"/>
      <c r="B9" s="58" t="s">
        <v>32</v>
      </c>
      <c r="C9" t="s">
        <v>33</v>
      </c>
      <c r="D9" s="55" t="s">
        <v>34</v>
      </c>
      <c r="E9" s="14">
        <v>1</v>
      </c>
      <c r="F9">
        <v>0.1</v>
      </c>
      <c r="G9" s="15">
        <v>0.1</v>
      </c>
      <c r="H9" s="16" t="s">
        <v>14</v>
      </c>
    </row>
    <row r="10" spans="1:8" ht="15" customHeight="1" x14ac:dyDescent="0.5">
      <c r="A10" s="12"/>
      <c r="B10" t="s">
        <v>42</v>
      </c>
      <c r="C10" t="s">
        <v>41</v>
      </c>
      <c r="D10" s="13" t="s">
        <v>43</v>
      </c>
      <c r="E10" s="14">
        <v>1</v>
      </c>
      <c r="F10">
        <v>500</v>
      </c>
      <c r="G10" s="15">
        <v>500</v>
      </c>
      <c r="H10" s="16" t="s">
        <v>14</v>
      </c>
    </row>
    <row r="11" spans="1:8" ht="15" customHeight="1" x14ac:dyDescent="0.5">
      <c r="A11" s="12"/>
      <c r="D11" s="14"/>
      <c r="E11" s="14"/>
      <c r="G11" s="15"/>
      <c r="H11" s="16" t="s">
        <v>14</v>
      </c>
    </row>
    <row r="12" spans="1:8" ht="15" customHeight="1" x14ac:dyDescent="0.5">
      <c r="A12" s="12"/>
      <c r="B12" s="17"/>
      <c r="C12" s="17"/>
      <c r="D12" s="18"/>
      <c r="E12" s="13"/>
      <c r="F12" s="17"/>
      <c r="G12" s="15"/>
      <c r="H12" s="16" t="s">
        <v>14</v>
      </c>
    </row>
    <row r="13" spans="1:8" ht="15" customHeight="1" x14ac:dyDescent="0.5">
      <c r="A13" s="12"/>
      <c r="C13" s="17"/>
      <c r="D13" s="13"/>
      <c r="E13" s="14"/>
      <c r="G13" s="15"/>
      <c r="H13" s="16" t="s">
        <v>14</v>
      </c>
    </row>
    <row r="14" spans="1:8" ht="15" customHeight="1" x14ac:dyDescent="0.5">
      <c r="A14" s="12"/>
      <c r="B14" s="17"/>
      <c r="D14" s="13"/>
      <c r="E14" s="14"/>
      <c r="G14" s="15"/>
      <c r="H14" s="16" t="s">
        <v>14</v>
      </c>
    </row>
    <row r="15" spans="1:8" ht="15" customHeight="1" x14ac:dyDescent="0.5">
      <c r="A15" s="19"/>
      <c r="B15" s="6"/>
      <c r="C15" s="5"/>
      <c r="D15" s="20"/>
      <c r="E15" s="3"/>
      <c r="F15" s="5"/>
      <c r="G15" s="21"/>
      <c r="H15" s="21"/>
    </row>
    <row r="16" spans="1:8" ht="15" customHeight="1" x14ac:dyDescent="0.5">
      <c r="A16" s="44" t="s">
        <v>15</v>
      </c>
      <c r="B16" s="45"/>
      <c r="C16" s="45"/>
      <c r="D16" s="45"/>
      <c r="E16" s="45"/>
      <c r="F16" s="45"/>
      <c r="G16" s="45"/>
      <c r="H16" s="46"/>
    </row>
    <row r="17" spans="1:8" ht="15" customHeight="1" x14ac:dyDescent="0.5">
      <c r="A17" s="22" t="s">
        <v>18</v>
      </c>
      <c r="B17" s="8" t="s">
        <v>7</v>
      </c>
      <c r="C17" s="8" t="s">
        <v>8</v>
      </c>
      <c r="D17" s="9" t="s">
        <v>9</v>
      </c>
      <c r="E17" s="9" t="s">
        <v>10</v>
      </c>
      <c r="F17" s="10" t="s">
        <v>11</v>
      </c>
      <c r="G17" s="28" t="s">
        <v>12</v>
      </c>
      <c r="H17" s="28" t="s">
        <v>13</v>
      </c>
    </row>
    <row r="18" spans="1:8" ht="15" customHeight="1" x14ac:dyDescent="0.5">
      <c r="A18" s="12"/>
      <c r="B18" s="58" t="s">
        <v>32</v>
      </c>
      <c r="C18" t="s">
        <v>33</v>
      </c>
      <c r="D18" s="55" t="s">
        <v>34</v>
      </c>
      <c r="E18" s="14">
        <v>1</v>
      </c>
      <c r="F18">
        <v>0.1</v>
      </c>
      <c r="G18" s="15">
        <v>0.1</v>
      </c>
      <c r="H18" s="16" t="s">
        <v>14</v>
      </c>
    </row>
    <row r="19" spans="1:8" ht="15" customHeight="1" x14ac:dyDescent="0.5">
      <c r="A19" s="12"/>
      <c r="B19" t="s">
        <v>42</v>
      </c>
      <c r="C19" t="s">
        <v>41</v>
      </c>
      <c r="D19" s="14" t="s">
        <v>43</v>
      </c>
      <c r="E19" s="14">
        <v>1</v>
      </c>
      <c r="F19">
        <v>500</v>
      </c>
      <c r="G19" s="15">
        <v>500</v>
      </c>
      <c r="H19" s="16" t="s">
        <v>14</v>
      </c>
    </row>
    <row r="20" spans="1:8" ht="15" customHeight="1" x14ac:dyDescent="0.5">
      <c r="A20" s="12"/>
      <c r="D20" s="14"/>
      <c r="E20" s="14"/>
      <c r="G20" s="15">
        <f t="shared" ref="G20:G21" si="0">E20*F20</f>
        <v>0</v>
      </c>
      <c r="H20" s="16" t="s">
        <v>14</v>
      </c>
    </row>
    <row r="21" spans="1:8" ht="15" customHeight="1" x14ac:dyDescent="0.5">
      <c r="A21" s="12"/>
      <c r="D21" s="14"/>
      <c r="E21" s="14"/>
      <c r="G21" s="15">
        <f t="shared" si="0"/>
        <v>0</v>
      </c>
      <c r="H21" s="16" t="s">
        <v>14</v>
      </c>
    </row>
    <row r="22" spans="1:8" ht="15" customHeight="1" x14ac:dyDescent="0.5">
      <c r="A22" s="12"/>
      <c r="B22" s="47" t="s">
        <v>16</v>
      </c>
      <c r="C22" s="43"/>
      <c r="D22" s="43"/>
      <c r="E22" s="43"/>
      <c r="F22" s="43"/>
      <c r="G22" s="15">
        <f>SUM(G17:G21)</f>
        <v>500.1</v>
      </c>
      <c r="H22" s="16" t="s">
        <v>14</v>
      </c>
    </row>
    <row r="23" spans="1:8" ht="15" customHeight="1" x14ac:dyDescent="0.5">
      <c r="A23" s="12"/>
      <c r="B23" s="47" t="s">
        <v>17</v>
      </c>
      <c r="C23" s="43"/>
      <c r="D23" s="43"/>
      <c r="E23" s="43"/>
      <c r="F23" s="43"/>
      <c r="G23" s="23">
        <v>0.25</v>
      </c>
      <c r="H23" s="23"/>
    </row>
    <row r="24" spans="1:8" ht="15" customHeight="1" x14ac:dyDescent="0.5">
      <c r="A24" s="12"/>
      <c r="B24" s="48" t="s">
        <v>19</v>
      </c>
      <c r="C24" s="43"/>
      <c r="D24" s="43"/>
      <c r="E24" s="43"/>
      <c r="F24" s="43"/>
      <c r="G24" s="15">
        <f>G22*(1+G23)</f>
        <v>625.125</v>
      </c>
      <c r="H24" s="16" t="s">
        <v>14</v>
      </c>
    </row>
    <row r="25" spans="1:8" ht="15" customHeight="1" x14ac:dyDescent="0.5">
      <c r="A25" s="24"/>
      <c r="B25" s="17"/>
      <c r="D25" s="13"/>
      <c r="E25" s="14"/>
      <c r="G25" s="15"/>
      <c r="H25" s="21"/>
    </row>
    <row r="26" spans="1:8" ht="15" customHeight="1" x14ac:dyDescent="0.5">
      <c r="A26" s="24" t="s">
        <v>20</v>
      </c>
      <c r="B26" s="17" t="s">
        <v>35</v>
      </c>
      <c r="C26" t="s">
        <v>36</v>
      </c>
      <c r="D26" s="56" t="s">
        <v>37</v>
      </c>
      <c r="E26" s="14">
        <v>1</v>
      </c>
      <c r="F26">
        <v>1.5</v>
      </c>
      <c r="G26" s="15">
        <v>1.5</v>
      </c>
      <c r="H26" s="57" t="s">
        <v>38</v>
      </c>
    </row>
    <row r="27" spans="1:8" ht="15" customHeight="1" x14ac:dyDescent="0.5">
      <c r="A27" s="12"/>
      <c r="B27" s="49" t="s">
        <v>21</v>
      </c>
      <c r="C27" s="43"/>
      <c r="D27" s="43"/>
      <c r="E27" s="43"/>
      <c r="F27" s="43"/>
      <c r="G27" s="27">
        <v>874.875</v>
      </c>
      <c r="H27" s="57" t="s">
        <v>14</v>
      </c>
    </row>
    <row r="28" spans="1:8" ht="15" customHeight="1" x14ac:dyDescent="0.5">
      <c r="A28" s="29"/>
      <c r="B28" s="30"/>
      <c r="C28" s="30"/>
      <c r="D28" s="30"/>
      <c r="E28" s="30"/>
      <c r="F28" s="30"/>
      <c r="G28" s="31"/>
      <c r="H28" s="32"/>
    </row>
    <row r="29" spans="1:8" ht="15" customHeight="1" x14ac:dyDescent="0.5">
      <c r="A29" s="44" t="s">
        <v>22</v>
      </c>
      <c r="B29" s="45"/>
      <c r="C29" s="45"/>
      <c r="D29" s="45"/>
      <c r="E29" s="45"/>
      <c r="F29" s="45"/>
      <c r="G29" s="45"/>
      <c r="H29" s="46"/>
    </row>
    <row r="30" spans="1:8" ht="15" customHeight="1" x14ac:dyDescent="0.5">
      <c r="A30" s="22" t="s">
        <v>23</v>
      </c>
      <c r="B30" s="8" t="s">
        <v>7</v>
      </c>
      <c r="C30" s="8" t="s">
        <v>8</v>
      </c>
      <c r="D30" s="9" t="s">
        <v>9</v>
      </c>
      <c r="E30" s="33" t="s">
        <v>24</v>
      </c>
      <c r="F30" s="10" t="s">
        <v>11</v>
      </c>
      <c r="G30" s="28" t="s">
        <v>12</v>
      </c>
      <c r="H30" s="28" t="s">
        <v>13</v>
      </c>
    </row>
    <row r="31" spans="1:8" ht="15" customHeight="1" x14ac:dyDescent="0.5">
      <c r="A31" s="34" t="s">
        <v>25</v>
      </c>
      <c r="B31" s="25" t="s">
        <v>26</v>
      </c>
      <c r="C31" s="59" t="s">
        <v>44</v>
      </c>
      <c r="D31" s="59" t="s">
        <v>45</v>
      </c>
      <c r="E31" s="56" t="s">
        <v>46</v>
      </c>
      <c r="F31" s="26">
        <v>5000</v>
      </c>
      <c r="G31" s="35">
        <v>5000</v>
      </c>
      <c r="H31" s="36" t="s">
        <v>14</v>
      </c>
    </row>
    <row r="32" spans="1:8" ht="15" customHeight="1" x14ac:dyDescent="0.5">
      <c r="A32" s="37"/>
      <c r="B32" s="25"/>
      <c r="C32" s="25"/>
      <c r="D32" s="13"/>
      <c r="E32" s="13"/>
      <c r="F32" s="26"/>
      <c r="G32" s="27"/>
      <c r="H32" s="38"/>
    </row>
    <row r="33" spans="1:8" ht="15" customHeight="1" x14ac:dyDescent="0.5">
      <c r="A33" s="52" t="s">
        <v>27</v>
      </c>
      <c r="B33" s="25"/>
      <c r="C33" s="25"/>
      <c r="D33" s="13"/>
      <c r="E33" s="13"/>
      <c r="F33" s="26"/>
      <c r="G33" s="27">
        <f t="shared" ref="G33:G35" si="1">E33*F33</f>
        <v>0</v>
      </c>
      <c r="H33" s="16" t="s">
        <v>14</v>
      </c>
    </row>
    <row r="34" spans="1:8" ht="15" customHeight="1" x14ac:dyDescent="0.5">
      <c r="A34" s="53"/>
      <c r="B34" s="25"/>
      <c r="C34" s="25"/>
      <c r="D34" s="13"/>
      <c r="E34" s="13"/>
      <c r="F34" s="26"/>
      <c r="G34" s="27">
        <f t="shared" si="1"/>
        <v>0</v>
      </c>
      <c r="H34" s="16" t="s">
        <v>14</v>
      </c>
    </row>
    <row r="35" spans="1:8" ht="15" customHeight="1" x14ac:dyDescent="0.5">
      <c r="A35" s="53"/>
      <c r="B35" s="17" t="s">
        <v>35</v>
      </c>
      <c r="C35" t="s">
        <v>36</v>
      </c>
      <c r="D35" s="56" t="s">
        <v>37</v>
      </c>
      <c r="E35" s="14">
        <v>1</v>
      </c>
      <c r="F35">
        <v>1500</v>
      </c>
      <c r="G35" s="15">
        <f t="shared" si="1"/>
        <v>1500</v>
      </c>
      <c r="H35" s="16" t="s">
        <v>14</v>
      </c>
    </row>
    <row r="36" spans="1:8" ht="15" customHeight="1" x14ac:dyDescent="0.5">
      <c r="A36" s="37"/>
      <c r="B36" s="49" t="s">
        <v>28</v>
      </c>
      <c r="C36" s="43"/>
      <c r="D36" s="43"/>
      <c r="E36" s="43"/>
      <c r="F36" s="43"/>
      <c r="G36" s="35">
        <f>G31-SUM(G33:G35)</f>
        <v>3500</v>
      </c>
      <c r="H36" s="36" t="s">
        <v>14</v>
      </c>
    </row>
    <row r="37" spans="1:8" ht="15" customHeight="1" x14ac:dyDescent="0.5">
      <c r="A37" s="37"/>
      <c r="B37" s="3"/>
      <c r="C37" s="3"/>
      <c r="D37" s="20"/>
      <c r="E37" s="20"/>
      <c r="F37" s="20"/>
      <c r="G37" s="39"/>
      <c r="H37" s="40"/>
    </row>
    <row r="38" spans="1:8" ht="15" customHeight="1" x14ac:dyDescent="0.5">
      <c r="A38" s="54" t="s">
        <v>29</v>
      </c>
      <c r="B38" s="43"/>
      <c r="C38" s="43"/>
      <c r="D38" s="43"/>
      <c r="E38" s="43"/>
      <c r="F38" s="43"/>
      <c r="G38" s="41"/>
      <c r="H38" s="41"/>
    </row>
    <row r="39" spans="1:8" ht="15" customHeight="1" x14ac:dyDescent="0.5">
      <c r="A39" s="50" t="s">
        <v>30</v>
      </c>
      <c r="B39" s="43"/>
      <c r="C39" s="43"/>
      <c r="D39" s="43"/>
      <c r="E39" s="43"/>
      <c r="F39" s="43"/>
      <c r="G39" s="43"/>
      <c r="H39" s="43"/>
    </row>
    <row r="40" spans="1:8" ht="15" customHeight="1" x14ac:dyDescent="0.5">
      <c r="A40" s="51" t="s">
        <v>31</v>
      </c>
      <c r="B40" s="43"/>
      <c r="C40" s="43"/>
      <c r="D40" s="43"/>
      <c r="E40" s="43"/>
      <c r="F40" s="43"/>
      <c r="G40" s="43"/>
      <c r="H40" s="43"/>
    </row>
  </sheetData>
  <mergeCells count="13">
    <mergeCell ref="A39:H39"/>
    <mergeCell ref="A40:H40"/>
    <mergeCell ref="A29:H29"/>
    <mergeCell ref="A33:A35"/>
    <mergeCell ref="B36:F36"/>
    <mergeCell ref="A38:F38"/>
    <mergeCell ref="B22:F22"/>
    <mergeCell ref="B23:F23"/>
    <mergeCell ref="B24:F24"/>
    <mergeCell ref="B27:F27"/>
    <mergeCell ref="A1:H1"/>
    <mergeCell ref="A7:H7"/>
    <mergeCell ref="A16:H16"/>
  </mergeCells>
  <conditionalFormatting sqref="G27">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Kelton Jensen</cp:lastModifiedBy>
  <dcterms:created xsi:type="dcterms:W3CDTF">2026-02-18T18:53:30Z</dcterms:created>
  <dcterms:modified xsi:type="dcterms:W3CDTF">2026-02-18T18:53:30Z</dcterms:modified>
</cp:coreProperties>
</file>